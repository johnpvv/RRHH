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ist\OneDrive\Documentos\Kreitton Propiedades\PROPIEDADES\VENTAS\Debussy 3162, San Joaquin\"/>
    </mc:Choice>
  </mc:AlternateContent>
  <xr:revisionPtr revIDLastSave="0" documentId="13_ncr:1_{D6CB39E6-77B8-4D0D-9E68-700FF7E26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D9" i="1"/>
  <c r="D10" i="1"/>
  <c r="D6" i="1"/>
  <c r="C30" i="1"/>
  <c r="D12" i="1" l="1"/>
  <c r="D17" i="1" s="1"/>
  <c r="D18" i="1" s="1"/>
  <c r="D22" i="1" s="1"/>
  <c r="D20" i="1"/>
</calcChain>
</file>

<file path=xl/sharedStrings.xml><?xml version="1.0" encoding="utf-8"?>
<sst xmlns="http://schemas.openxmlformats.org/spreadsheetml/2006/main" count="34" uniqueCount="32">
  <si>
    <t>PRECIO DE VENTA</t>
  </si>
  <si>
    <t>ÍTEMS</t>
  </si>
  <si>
    <t>VALORES UF</t>
  </si>
  <si>
    <t>VALORES EN PESO</t>
  </si>
  <si>
    <t>VALOR UF</t>
  </si>
  <si>
    <t>COMISIÓN CORREDOR</t>
  </si>
  <si>
    <t>TOTAL POR PAGAR EN EFECTIVO</t>
  </si>
  <si>
    <t>1° PREPAGO</t>
  </si>
  <si>
    <t>2° PREPAGO</t>
  </si>
  <si>
    <t>VALOR DE PROVISIONAMIENTO</t>
  </si>
  <si>
    <t>TOTAL POR PAGAR AL BANCO</t>
  </si>
  <si>
    <t>DETALLES DE VALE VISTAS</t>
  </si>
  <si>
    <t>SALDO DE ESCRITURA</t>
  </si>
  <si>
    <t>A FAVOR DE CORREDOR</t>
  </si>
  <si>
    <t>COMISIÓN</t>
  </si>
  <si>
    <t>RUT</t>
  </si>
  <si>
    <t>OBSERVACIONES</t>
  </si>
  <si>
    <t>ENDOSABLE</t>
  </si>
  <si>
    <t>GASTOS OPERACIONALES</t>
  </si>
  <si>
    <t>ABOGADO</t>
  </si>
  <si>
    <t xml:space="preserve">ESCRITURA </t>
  </si>
  <si>
    <t>INSTRUCCIONES</t>
  </si>
  <si>
    <t>INSCRIPCIÓN EN CBR</t>
  </si>
  <si>
    <t>DEL PRECIO DE VENTA SE DEBE DESCONTAR EL PAGO DE LA DEUDA A BANCOESTADO</t>
  </si>
  <si>
    <t>DEUDA DE BANCO</t>
  </si>
  <si>
    <t>A FAVOR DE ITAU</t>
  </si>
  <si>
    <t>A FAVOR DE VENDEDOR</t>
  </si>
  <si>
    <t>RESUMEN DE EFECTIVO PARA DUEÑO</t>
  </si>
  <si>
    <t>97023000-9</t>
  </si>
  <si>
    <t>9580701-1</t>
  </si>
  <si>
    <t>16610848-9</t>
  </si>
  <si>
    <t>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</si>
</sst>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_ &quot;$&quot;* #,##0.0_ ;_ &quot;$&quot;* \-#,##0.0_ ;_ &quot;$&quot;* &quot;-&quot;_ ;_ @_ "/>
    <numFmt numFmtId="165" formatCode="_ &quot;$&quot;* #,##0.0_ ;_ &quot;$&quot;* \-#,##0.0_ ;_ &quot;$&quot;* &quot;-&quot;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8">
    <xf numFmtId="0" fontId="0" fillId="0" borderId="0" xfId="0"/>
    <xf numFmtId="42" fontId="0" fillId="0" borderId="0" xfId="1" applyFont="1"/>
    <xf numFmtId="0" fontId="2" fillId="0" borderId="0" xfId="0" applyFont="1"/>
    <xf numFmtId="0" fontId="2" fillId="2" borderId="0" xfId="0" applyFont="1" applyFill="1"/>
    <xf numFmtId="42" fontId="0" fillId="0" borderId="0" xfId="0" applyNumberFormat="1"/>
    <xf numFmtId="42" fontId="2" fillId="0" borderId="0" xfId="1" applyFont="1"/>
    <xf numFmtId="42" fontId="2" fillId="0" borderId="0" xfId="0" applyNumberFormat="1" applyFont="1"/>
    <xf numFmtId="0" fontId="3" fillId="0" borderId="0" xfId="0" applyFont="1"/>
    <xf numFmtId="16" fontId="0" fillId="0" borderId="0" xfId="0" applyNumberFormat="1"/>
    <xf numFmtId="0" fontId="2" fillId="3" borderId="0" xfId="0" applyFont="1" applyFill="1"/>
    <xf numFmtId="42" fontId="2" fillId="3" borderId="0" xfId="0" applyNumberFormat="1" applyFont="1" applyFill="1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/>
    <xf numFmtId="165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220578</xdr:colOff>
      <xdr:row>3</xdr:row>
      <xdr:rowOff>169531</xdr:rowOff>
    </xdr:from>
    <xdr:to>
      <xdr:col>8</xdr:col>
      <xdr:colOff>462713</xdr:colOff>
      <xdr:row>7</xdr:row>
      <xdr:rowOff>344404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987CC6-9CC1-FF7D-4A30-BC9E1615A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3960" y="710952"/>
          <a:ext cx="3009398" cy="896768"/>
        </a:xfrm>
        <a:prstGeom prst="rect">
          <a:avLst/>
        </a:prstGeom>
      </xdr:spPr>
    </xdr:pic>
    <xdr:clientData/>
  </xdr:twoCellAnchor>
  <xdr:twoCellAnchor editAs="oneCell">
    <xdr:from>
      <xdr:col>5</xdr:col>
      <xdr:colOff>260683</xdr:colOff>
      <xdr:row>8</xdr:row>
      <xdr:rowOff>91478</xdr:rowOff>
    </xdr:from>
    <xdr:to>
      <xdr:col>9</xdr:col>
      <xdr:colOff>202029</xdr:colOff>
      <xdr:row>13</xdr:row>
      <xdr:rowOff>125766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88BEF9-AA7B-1F56-0965-B631E41F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64065" y="1710728"/>
          <a:ext cx="3335253" cy="936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5" zoomScale="98" zoomScaleNormal="160" workbookViewId="0">
      <selection activeCell="C29" sqref="C29"/>
    </sheetView>
  </sheetViews>
  <sheetFormatPr baseColWidth="10" defaultColWidth="9.109375" defaultRowHeight="14.4" x14ac:dyDescent="0.3"/>
  <cols>
    <col min="1" max="1" width="4.6640625" customWidth="1"/>
    <col min="2" max="2" width="32.6640625" bestFit="1" customWidth="1"/>
    <col min="3" max="3" width="18.5546875" bestFit="1" customWidth="1"/>
    <col min="4" max="4" width="19.33203125" customWidth="1"/>
    <col min="5" max="5" width="26.88671875" customWidth="1"/>
    <col min="6" max="6" width="15.33203125" bestFit="1" customWidth="1"/>
    <col min="7" max="7" width="15.88671875" customWidth="1"/>
  </cols>
  <sheetData>
    <row r="1" spans="1:7" x14ac:dyDescent="0.3">
      <c r="B1" t="s">
        <v>4</v>
      </c>
      <c r="C1" s="16">
        <v>39643.589999999997</v>
      </c>
      <c r="D1" s="8">
        <v>45987</v>
      </c>
    </row>
    <row r="2" spans="1:7" x14ac:dyDescent="0.3">
      <c r="A2" s="13" t="s">
        <v>1</v>
      </c>
      <c r="B2" s="13"/>
      <c r="C2" s="3" t="s">
        <v>2</v>
      </c>
      <c r="D2" s="3" t="s">
        <v>3</v>
      </c>
    </row>
    <row r="3" spans="1:7" x14ac:dyDescent="0.3">
      <c r="A3" s="14" t="s">
        <v>0</v>
      </c>
      <c r="B3" s="14"/>
      <c r="C3" s="2"/>
      <c r="D3" s="5">
        <v>180000000</v>
      </c>
    </row>
    <row r="4" spans="1:7" x14ac:dyDescent="0.3">
      <c r="A4" s="15" t="s">
        <v>5</v>
      </c>
      <c r="B4" s="15"/>
      <c r="D4" s="1">
        <v>4210526</v>
      </c>
    </row>
    <row r="6" spans="1:7" x14ac:dyDescent="0.3">
      <c r="A6" s="9" t="s">
        <v>6</v>
      </c>
      <c r="B6" s="9"/>
      <c r="C6" s="9"/>
      <c r="D6" s="10">
        <f>+D3+D4</f>
        <v>184210526</v>
      </c>
    </row>
    <row r="8" spans="1:7" ht="28.5" customHeight="1" x14ac:dyDescent="0.3">
      <c r="A8" s="11" t="s">
        <v>23</v>
      </c>
      <c r="B8" s="11"/>
      <c r="C8" s="11"/>
      <c r="D8" s="11"/>
    </row>
    <row r="9" spans="1:7" x14ac:dyDescent="0.3">
      <c r="B9" t="s">
        <v>7</v>
      </c>
      <c r="D9" s="1">
        <f>+E9*C1</f>
        <v>3996684.3832859993</v>
      </c>
      <c r="E9">
        <v>100.8154</v>
      </c>
    </row>
    <row r="10" spans="1:7" x14ac:dyDescent="0.3">
      <c r="B10" t="s">
        <v>8</v>
      </c>
      <c r="D10" s="1">
        <f>+E10*C1</f>
        <v>24397759.449083999</v>
      </c>
      <c r="E10">
        <v>615.42759999999998</v>
      </c>
    </row>
    <row r="11" spans="1:7" x14ac:dyDescent="0.3">
      <c r="B11" t="s">
        <v>9</v>
      </c>
      <c r="D11" s="1">
        <v>1500000</v>
      </c>
    </row>
    <row r="12" spans="1:7" x14ac:dyDescent="0.3">
      <c r="B12" s="2" t="s">
        <v>10</v>
      </c>
      <c r="C12" s="2"/>
      <c r="D12" s="5">
        <f>SUM(D9:D11)</f>
        <v>29894443.832369998</v>
      </c>
    </row>
    <row r="14" spans="1:7" ht="13.5" customHeight="1" x14ac:dyDescent="0.3"/>
    <row r="15" spans="1:7" x14ac:dyDescent="0.3">
      <c r="A15" s="7" t="s">
        <v>11</v>
      </c>
    </row>
    <row r="16" spans="1:7" x14ac:dyDescent="0.3">
      <c r="E16" s="2" t="s">
        <v>31</v>
      </c>
      <c r="F16" s="2" t="s">
        <v>16</v>
      </c>
      <c r="G16" s="2" t="s">
        <v>15</v>
      </c>
    </row>
    <row r="17" spans="1:7" x14ac:dyDescent="0.3">
      <c r="A17">
        <v>1</v>
      </c>
      <c r="B17" t="s">
        <v>24</v>
      </c>
      <c r="D17" s="4">
        <f>+D12</f>
        <v>29894443.832369998</v>
      </c>
      <c r="E17" t="s">
        <v>25</v>
      </c>
      <c r="F17" t="s">
        <v>17</v>
      </c>
      <c r="G17" t="s">
        <v>28</v>
      </c>
    </row>
    <row r="18" spans="1:7" x14ac:dyDescent="0.3">
      <c r="A18">
        <v>2</v>
      </c>
      <c r="B18" t="s">
        <v>12</v>
      </c>
      <c r="D18" s="1">
        <f>+D3-D4-D17</f>
        <v>145895030.16763002</v>
      </c>
      <c r="E18" t="s">
        <v>26</v>
      </c>
      <c r="F18" t="s">
        <v>17</v>
      </c>
      <c r="G18" t="s">
        <v>29</v>
      </c>
    </row>
    <row r="19" spans="1:7" x14ac:dyDescent="0.3">
      <c r="A19">
        <v>3</v>
      </c>
      <c r="B19" t="s">
        <v>14</v>
      </c>
      <c r="D19" s="1">
        <f>+D4*2</f>
        <v>8421052</v>
      </c>
      <c r="E19" t="s">
        <v>13</v>
      </c>
      <c r="F19" t="s">
        <v>17</v>
      </c>
      <c r="G19" t="s">
        <v>30</v>
      </c>
    </row>
    <row r="20" spans="1:7" x14ac:dyDescent="0.3">
      <c r="D20" s="6">
        <f ca="1">SUM(D17:D20)</f>
        <v>184210526</v>
      </c>
    </row>
    <row r="22" spans="1:7" x14ac:dyDescent="0.3">
      <c r="A22" s="12" t="s">
        <v>27</v>
      </c>
      <c r="B22" s="12"/>
      <c r="C22" s="12"/>
      <c r="D22" s="4">
        <f>+D18</f>
        <v>145895030.16763002</v>
      </c>
    </row>
    <row r="25" spans="1:7" ht="15.6" x14ac:dyDescent="0.3">
      <c r="A25" s="7" t="s">
        <v>18</v>
      </c>
      <c r="D25" s="6"/>
    </row>
    <row r="26" spans="1:7" x14ac:dyDescent="0.3">
      <c r="B26" t="s">
        <v>19</v>
      </c>
      <c r="C26" s="1">
        <v>200000</v>
      </c>
      <c r="D26" s="17"/>
    </row>
    <row r="27" spans="1:7" x14ac:dyDescent="0.3">
      <c r="B27" t="s">
        <v>20</v>
      </c>
      <c r="C27" s="1">
        <v>180000</v>
      </c>
    </row>
    <row r="28" spans="1:7" x14ac:dyDescent="0.3">
      <c r="B28" t="s">
        <v>21</v>
      </c>
      <c r="C28" s="1">
        <v>120000</v>
      </c>
    </row>
    <row r="29" spans="1:7" x14ac:dyDescent="0.3">
      <c r="B29" t="s">
        <v>22</v>
      </c>
      <c r="C29" s="1">
        <v>278500</v>
      </c>
    </row>
    <row r="30" spans="1:7" x14ac:dyDescent="0.3">
      <c r="C30" s="1">
        <f>SUM(C26:C29)</f>
        <v>778500</v>
      </c>
    </row>
  </sheetData>
  <mergeCells count="5">
    <mergeCell ref="A8:D8"/>
    <mergeCell ref="A22:C22"/>
    <mergeCell ref="A2:B2"/>
    <mergeCell ref="A3:B3"/>
    <mergeCell ref="A4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Nilson</dc:creator>
  <cp:lastModifiedBy>Cristóbal Maiza</cp:lastModifiedBy>
  <dcterms:created xsi:type="dcterms:W3CDTF">2015-06-05T18:19:34Z</dcterms:created>
  <dcterms:modified xsi:type="dcterms:W3CDTF">2025-11-22T04:00:07Z</dcterms:modified>
</cp:coreProperties>
</file>